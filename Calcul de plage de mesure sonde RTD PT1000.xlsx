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f8f351c66a0d70/Documents/Home Assistant/ESPHOME/BBQ Granules Pitboss 850 Pro Series/"/>
    </mc:Choice>
  </mc:AlternateContent>
  <xr:revisionPtr revIDLastSave="12" documentId="8_{1A9C86B8-35AE-4191-A29B-4DC8A4D19293}" xr6:coauthVersionLast="47" xr6:coauthVersionMax="47" xr10:uidLastSave="{94EA5E77-2A46-4358-9204-7DC5974F23BC}"/>
  <bookViews>
    <workbookView xWindow="12000" yWindow="1785" windowWidth="11370" windowHeight="10395" xr2:uid="{F88B29F3-AA4E-4982-B67C-B24D79B382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D35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4" i="1"/>
  <c r="D2" i="1"/>
  <c r="B2" i="1" s="1"/>
  <c r="E35" i="1" l="1"/>
</calcChain>
</file>

<file path=xl/sharedStrings.xml><?xml version="1.0" encoding="utf-8"?>
<sst xmlns="http://schemas.openxmlformats.org/spreadsheetml/2006/main" count="69" uniqueCount="59">
  <si>
    <t>DegC</t>
  </si>
  <si>
    <t>Résistance</t>
  </si>
  <si>
    <t>DegF</t>
  </si>
  <si>
    <t>Tension Mesuré div 10k</t>
  </si>
  <si>
    <t>Plage de tension:</t>
  </si>
  <si>
    <t>Résistance pull-up</t>
  </si>
  <si>
    <t>On va faire un montage en Pull-Up</t>
  </si>
  <si>
    <t>3V3</t>
  </si>
  <si>
    <t>2.2K</t>
  </si>
  <si>
    <t>PT1000 RTD</t>
  </si>
  <si>
    <t>GND</t>
  </si>
  <si>
    <t># --- CAPTEUR DE RÉSISTANCE (La valeur brute en Ohms) ---</t>
  </si>
  <si>
    <t>  - platform: resistance</t>
  </si>
  <si>
    <t>    id: bbq_temp_res</t>
  </si>
  <si>
    <t>    sensor: meat_1_voltage</t>
  </si>
  <si>
    <r>
      <t xml:space="preserve">    </t>
    </r>
    <r>
      <rPr>
        <sz val="11"/>
        <color rgb="FF608B4E"/>
        <rFont val="Consolas"/>
        <family val="3"/>
      </rPr>
      <t># On laisse 'internal: false' (par défaut) pour qu'il apparaisse dans HA</t>
    </r>
  </si>
  <si>
    <t>    name: "Résistance Sonde BBQ"</t>
  </si>
  <si>
    <t>    unit_of_measurement: "Ω"</t>
  </si>
  <si>
    <t>    accuracy_decimals: 1</t>
  </si>
  <si>
    <r>
      <t>    configuration:</t>
    </r>
    <r>
      <rPr>
        <sz val="11"/>
        <color rgb="FFC00000"/>
        <rFont val="Consolas"/>
        <family val="3"/>
      </rPr>
      <t xml:space="preserve"> DOWNSTREAM</t>
    </r>
  </si>
  <si>
    <r>
      <t xml:space="preserve">Changement à faire dans les ligne de code identifié en </t>
    </r>
    <r>
      <rPr>
        <sz val="11"/>
        <color rgb="FFC00000"/>
        <rFont val="Calibri"/>
        <family val="2"/>
        <scheme val="minor"/>
      </rPr>
      <t>rouge</t>
    </r>
  </si>
  <si>
    <r>
      <t xml:space="preserve">  </t>
    </r>
    <r>
      <rPr>
        <sz val="11"/>
        <color rgb="FF608B4E"/>
        <rFont val="Consolas"/>
        <family val="3"/>
      </rPr>
      <t># --- SONDE DE CUVE D'ORIGINE (Sur A0)  (BBQ TEMP) ---</t>
    </r>
  </si>
  <si>
    <t>  - platform: ads1115</t>
  </si>
  <si>
    <t>    id: bbq_chamber_voltage</t>
  </si>
  <si>
    <t>    update_interval: 1s</t>
  </si>
  <si>
    <r>
      <rPr>
        <sz val="11"/>
        <rFont val="Consolas"/>
        <family val="3"/>
      </rPr>
      <t xml:space="preserve">    multiplexer: </t>
    </r>
    <r>
      <rPr>
        <sz val="11"/>
        <color theme="5" tint="-0.249977111117893"/>
        <rFont val="Consolas"/>
        <family val="3"/>
      </rPr>
      <t>'A0_GND'</t>
    </r>
    <r>
      <rPr>
        <sz val="11"/>
        <color rgb="FFE8E8E9"/>
        <rFont val="Consolas"/>
        <family val="3"/>
      </rPr>
      <t xml:space="preserve"> </t>
    </r>
    <r>
      <rPr>
        <sz val="11"/>
        <color theme="9"/>
        <rFont val="Consolas"/>
        <family val="3"/>
      </rPr>
      <t># Typiquement A0 pour la cuve</t>
    </r>
  </si>
  <si>
    <t>100 nF</t>
  </si>
  <si>
    <t>│</t>
  </si>
  <si>
    <t xml:space="preserve">───┤        </t>
  </si>
  <si>
    <t>───┼───</t>
  </si>
  <si>
    <t xml:space="preserve">         └────</t>
  </si>
  <si>
    <t>A0</t>
  </si>
  <si>
    <t xml:space="preserve">│  </t>
  </si>
  <si>
    <t xml:space="preserve">        ┌────</t>
  </si>
  <si>
    <r>
      <t xml:space="preserve">Tension Mesuré div </t>
    </r>
    <r>
      <rPr>
        <sz val="11"/>
        <color rgb="FFFF0000"/>
        <rFont val="Calibri"/>
        <family val="2"/>
        <scheme val="minor"/>
      </rPr>
      <t>##</t>
    </r>
    <r>
      <rPr>
        <sz val="11"/>
        <color theme="1"/>
        <rFont val="Calibri"/>
        <family val="2"/>
        <scheme val="minor"/>
      </rPr>
      <t>kohms</t>
    </r>
  </si>
  <si>
    <r>
      <t xml:space="preserve">    gain: </t>
    </r>
    <r>
      <rPr>
        <sz val="11"/>
        <color rgb="FFC00000"/>
        <rFont val="Consolas"/>
        <family val="3"/>
      </rPr>
      <t xml:space="preserve">2.048 </t>
    </r>
    <r>
      <rPr>
        <sz val="11"/>
        <rFont val="Consolas"/>
        <family val="3"/>
      </rPr>
      <t xml:space="preserve">          </t>
    </r>
    <r>
      <rPr>
        <sz val="11"/>
        <color theme="9"/>
        <rFont val="Consolas"/>
        <family val="3"/>
      </rPr>
      <t xml:space="preserve"># Gain idéal </t>
    </r>
    <r>
      <rPr>
        <sz val="11"/>
        <color rgb="FFC00000"/>
        <rFont val="Consolas"/>
        <family val="3"/>
      </rPr>
      <t>2</t>
    </r>
    <r>
      <rPr>
        <sz val="11"/>
        <color theme="9"/>
        <rFont val="Consolas"/>
        <family val="3"/>
      </rPr>
      <t xml:space="preserve"> pour une PT1000 avec résistance </t>
    </r>
    <r>
      <rPr>
        <sz val="11"/>
        <color rgb="FFC00000"/>
        <rFont val="Consolas"/>
        <family val="3"/>
      </rPr>
      <t>2.2</t>
    </r>
    <r>
      <rPr>
        <sz val="11"/>
        <color theme="9"/>
        <rFont val="Consolas"/>
        <family val="3"/>
      </rPr>
      <t>k</t>
    </r>
  </si>
  <si>
    <r>
      <t xml:space="preserve">    resistor: </t>
    </r>
    <r>
      <rPr>
        <sz val="11"/>
        <color rgb="FFC00000"/>
        <rFont val="Consolas"/>
        <family val="3"/>
      </rPr>
      <t>2200 Ohm</t>
    </r>
    <r>
      <rPr>
        <sz val="11"/>
        <rFont val="Consolas"/>
        <family val="3"/>
      </rPr>
      <t xml:space="preserve">    </t>
    </r>
    <r>
      <rPr>
        <sz val="11"/>
        <color theme="9"/>
        <rFont val="Consolas"/>
        <family val="3"/>
      </rPr>
      <t xml:space="preserve">  # Changement pour ta nouvelle résistance </t>
    </r>
    <r>
      <rPr>
        <sz val="11"/>
        <color rgb="FFC00000"/>
        <rFont val="Consolas"/>
        <family val="3"/>
      </rPr>
      <t>2200 Ohm</t>
    </r>
  </si>
  <si>
    <t># --- CAPTEUR DE TEMPÉRATURE (Calibré à partir de la résistance) ---</t>
  </si>
  <si>
    <t>  - platform: copy</t>
  </si>
  <si>
    <t>    source_id: meat_1_res</t>
  </si>
  <si>
    <t>    id: meat_1</t>
  </si>
  <si>
    <t>    filters:</t>
  </si>
  <si>
    <r>
      <t xml:space="preserve">      </t>
    </r>
    <r>
      <rPr>
        <sz val="11"/>
        <color rgb="FF608B4E"/>
        <rFont val="Consolas"/>
        <family val="3"/>
      </rPr>
      <t># 1. On convertit d'abord (très important)</t>
    </r>
  </si>
  <si>
    <r>
      <rPr>
        <sz val="11"/>
        <rFont val="Consolas"/>
        <family val="3"/>
      </rPr>
      <t>    name:</t>
    </r>
    <r>
      <rPr>
        <sz val="11"/>
        <color rgb="FFE8E8E9"/>
        <rFont val="Consolas"/>
        <family val="3"/>
      </rPr>
      <t xml:space="preserve"> </t>
    </r>
    <r>
      <rPr>
        <sz val="11"/>
        <color theme="5" tint="-0.249977111117893"/>
        <rFont val="Consolas"/>
        <family val="3"/>
      </rPr>
      <t>"Viande 1"</t>
    </r>
  </si>
  <si>
    <r>
      <rPr>
        <sz val="11"/>
        <color theme="1"/>
        <rFont val="Consolas"/>
        <family val="3"/>
      </rPr>
      <t>    unit_of_measurement:</t>
    </r>
    <r>
      <rPr>
        <sz val="11"/>
        <color rgb="FFE8E8E9"/>
        <rFont val="Consolas"/>
        <family val="3"/>
      </rPr>
      <t xml:space="preserve"> </t>
    </r>
    <r>
      <rPr>
        <sz val="11"/>
        <color theme="5" tint="-0.249977111117893"/>
        <rFont val="Consolas"/>
        <family val="3"/>
      </rPr>
      <t>"°F "</t>
    </r>
  </si>
  <si>
    <t xml:space="preserve">      </t>
  </si>
  <si>
    <r>
      <t xml:space="preserve">     </t>
    </r>
    <r>
      <rPr>
        <i/>
        <sz val="11"/>
        <color theme="9"/>
        <rFont val="Consolas"/>
        <family val="3"/>
      </rPr>
      <t># Utilise des points théoriques précis pour la pente</t>
    </r>
  </si>
  <si>
    <r>
      <t xml:space="preserve">      </t>
    </r>
    <r>
      <rPr>
        <i/>
        <sz val="11"/>
        <color theme="9"/>
        <rFont val="Consolas"/>
        <family val="3"/>
      </rPr>
      <t># AJOUT DE L'OFFSET (Correction via AHT25)</t>
    </r>
  </si>
  <si>
    <r>
      <t xml:space="preserve">      </t>
    </r>
    <r>
      <rPr>
        <i/>
        <sz val="11"/>
        <color theme="9"/>
        <rFont val="Consolas"/>
        <family val="3"/>
      </rPr>
      <t xml:space="preserve"># Si ta PT1000 affiche 74°F alors que l'AHT25 dit 72°F, </t>
    </r>
  </si>
  <si>
    <r>
      <t xml:space="preserve">      </t>
    </r>
    <r>
      <rPr>
        <i/>
        <sz val="11"/>
        <color theme="9"/>
        <rFont val="Consolas"/>
        <family val="3"/>
      </rPr>
      <t># ajoute un offset de -2.0 ici :</t>
    </r>
  </si>
  <si>
    <t xml:space="preserve">      - sliding_window_moving_average:</t>
  </si>
  <si>
    <t xml:space="preserve">          send_every: 1</t>
  </si>
  <si>
    <t xml:space="preserve">      - delta: 0.3</t>
  </si>
  <si>
    <r>
      <t xml:space="preserve">          window_size: 15 </t>
    </r>
    <r>
      <rPr>
        <sz val="11"/>
        <color theme="9"/>
        <rFont val="Consolas"/>
        <family val="3"/>
      </rPr>
      <t># à mettre à 10 avec résistance pull down de 1k</t>
    </r>
  </si>
  <si>
    <t xml:space="preserve">      - offset: 0.0 </t>
  </si>
  <si>
    <t xml:space="preserve">      - calibrate_linear:</t>
  </si>
  <si>
    <r>
      <t xml:space="preserve">          - 1000.0 -&gt; 32.0    </t>
    </r>
    <r>
      <rPr>
        <i/>
        <sz val="11"/>
        <rFont val="Consolas"/>
        <family val="3"/>
      </rPr>
      <t># 0°C</t>
    </r>
  </si>
  <si>
    <r>
      <t xml:space="preserve">          - 1385.1 -&gt; 212.0   </t>
    </r>
    <r>
      <rPr>
        <i/>
        <sz val="11"/>
        <rFont val="Consolas"/>
        <family val="3"/>
      </rPr>
      <t># 100°C</t>
    </r>
  </si>
  <si>
    <r>
      <t xml:space="preserve">          - 2120.2 -&gt; 572.0   </t>
    </r>
    <r>
      <rPr>
        <i/>
        <sz val="11"/>
        <rFont val="Consolas"/>
        <family val="3"/>
      </rPr>
      <t># 300°C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</si>
</sst>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E8E8E9"/>
      <name val="Consolas"/>
      <family val="3"/>
    </font>
    <font>
      <sz val="11"/>
      <color rgb="FF608B4E"/>
      <name val="Consolas"/>
      <family val="3"/>
    </font>
    <font>
      <sz val="11"/>
      <name val="Consolas"/>
      <family val="3"/>
    </font>
    <font>
      <sz val="11"/>
      <color theme="9"/>
      <name val="Consolas"/>
      <family val="3"/>
    </font>
    <font>
      <sz val="11"/>
      <color rgb="FFC00000"/>
      <name val="Consolas"/>
      <family val="3"/>
    </font>
    <font>
      <sz val="11"/>
      <color rgb="FFC00000"/>
      <name val="Calibri"/>
      <family val="2"/>
      <scheme val="minor"/>
    </font>
    <font>
      <sz val="11"/>
      <color theme="5" tint="-0.249977111117893"/>
      <name val="Consolas"/>
      <family val="3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onsolas"/>
      <family val="3"/>
    </font>
    <font>
      <i/>
      <sz val="11"/>
      <color theme="9"/>
      <name val="Consolas"/>
      <family val="3"/>
    </font>
    <font>
      <sz val="11"/>
      <name val="Calibri"/>
      <family val="2"/>
      <scheme val="minor"/>
    </font>
    <font>
      <i/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quotePrefix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Résistance vs température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Feuil1!$C$3</c:f>
              <c:strCache>
                <c:ptCount val="1"/>
                <c:pt idx="0">
                  <c:v>Résistance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523097112860893"/>
                  <c:y val="-1.3639180519101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Feuil1!$A$4:$A$14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Feuil1!$C$4:$C$14</c:f>
              <c:numCache>
                <c:formatCode>0.0</c:formatCode>
                <c:ptCount val="11"/>
                <c:pt idx="0">
                  <c:v>1000</c:v>
                </c:pt>
                <c:pt idx="1">
                  <c:v>1039</c:v>
                </c:pt>
                <c:pt idx="2">
                  <c:v>1078</c:v>
                </c:pt>
                <c:pt idx="3">
                  <c:v>1117</c:v>
                </c:pt>
                <c:pt idx="4">
                  <c:v>1155</c:v>
                </c:pt>
                <c:pt idx="5">
                  <c:v>1194</c:v>
                </c:pt>
                <c:pt idx="6">
                  <c:v>1232</c:v>
                </c:pt>
                <c:pt idx="7">
                  <c:v>1270.5</c:v>
                </c:pt>
                <c:pt idx="8">
                  <c:v>1309</c:v>
                </c:pt>
                <c:pt idx="9">
                  <c:v>1347</c:v>
                </c:pt>
                <c:pt idx="10">
                  <c:v>1385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B-4E5F-806F-958B84FB8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261712"/>
        <c:axId val="1905255952"/>
      </c:scatterChart>
      <c:valAx>
        <c:axId val="190526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255952"/>
        <c:crosses val="autoZero"/>
        <c:crossBetween val="midCat"/>
      </c:valAx>
      <c:valAx>
        <c:axId val="19052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26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752475</xdr:colOff>
      <xdr:row>1</xdr:row>
      <xdr:rowOff>47625</xdr:rowOff>
    </xdr:from>
    <xdr:to>
      <xdr:col>15</xdr:col>
      <xdr:colOff>752475</xdr:colOff>
      <xdr:row>15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1484291-E1F3-D865-897E-2B58E6B53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E08A-D6C1-4701-8D7F-F68925EB051A}">
  <dimension ref="A1:H64"/>
  <sheetViews>
    <sheetView tabSelected="1" workbookViewId="0">
      <selection activeCell="C3" sqref="C3"/>
    </sheetView>
  </sheetViews>
  <sheetFormatPr baseColWidth="10" defaultRowHeight="15" x14ac:dyDescent="0.25"/>
  <cols>
    <col min="4" max="4" width="22" bestFit="1" customWidth="1"/>
    <col min="5" max="5" width="27" bestFit="1" customWidth="1"/>
  </cols>
  <sheetData>
    <row r="1" spans="1:8" x14ac:dyDescent="0.25">
      <c r="C1" s="1" t="s">
        <v>0</v>
      </c>
      <c r="D1" s="1" t="s">
        <v>2</v>
      </c>
      <c r="E1" s="1" t="s">
        <v>5</v>
      </c>
    </row>
    <row r="2" spans="1:8" x14ac:dyDescent="0.25">
      <c r="B2">
        <f>D2-60</f>
        <v>15.740000000000009</v>
      </c>
      <c r="C2" s="1">
        <v>24.3</v>
      </c>
      <c r="D2" s="1">
        <f>C2*1.8+32</f>
        <v>75.740000000000009</v>
      </c>
      <c r="E2" s="5">
        <v>2200</v>
      </c>
    </row>
    <row r="3" spans="1:8" x14ac:dyDescent="0.25">
      <c r="A3" s="1" t="s">
        <v>0</v>
      </c>
      <c r="B3" s="1" t="s">
        <v>2</v>
      </c>
      <c r="C3" s="1" t="s">
        <v>1</v>
      </c>
      <c r="D3" t="s">
        <v>3</v>
      </c>
      <c r="E3" t="s">
        <v>34</v>
      </c>
    </row>
    <row r="4" spans="1:8" x14ac:dyDescent="0.25">
      <c r="A4">
        <v>0</v>
      </c>
      <c r="B4" s="1">
        <f>A4*1.8+32</f>
        <v>32</v>
      </c>
      <c r="C4" s="4">
        <v>1000</v>
      </c>
      <c r="D4" s="3">
        <f>C4/(C4+10000)*3.3</f>
        <v>0.3</v>
      </c>
      <c r="E4" s="3">
        <f>C4/(C4+$E$2)*3.3</f>
        <v>1.03125</v>
      </c>
    </row>
    <row r="5" spans="1:8" x14ac:dyDescent="0.25">
      <c r="A5">
        <v>10</v>
      </c>
      <c r="B5" s="1">
        <f t="shared" ref="B5:B34" si="0">A5*1.8+32</f>
        <v>50</v>
      </c>
      <c r="C5" s="4">
        <v>1039</v>
      </c>
      <c r="D5" s="3">
        <f t="shared" ref="D5:D34" si="1">C5/(C5+10000)*3.3</f>
        <v>0.31059878612193131</v>
      </c>
      <c r="E5" s="3">
        <f t="shared" ref="E5:E34" si="2">C5/(C5+$E$2)*3.3</f>
        <v>1.0585674590923124</v>
      </c>
      <c r="F5" t="s">
        <v>6</v>
      </c>
    </row>
    <row r="6" spans="1:8" x14ac:dyDescent="0.25">
      <c r="A6">
        <v>20</v>
      </c>
      <c r="B6" s="1">
        <f t="shared" si="0"/>
        <v>68</v>
      </c>
      <c r="C6" s="4">
        <v>1078</v>
      </c>
      <c r="D6" s="3">
        <f t="shared" si="1"/>
        <v>0.32112294638021299</v>
      </c>
      <c r="E6" s="3">
        <f t="shared" si="2"/>
        <v>1.0852348993288592</v>
      </c>
    </row>
    <row r="7" spans="1:8" x14ac:dyDescent="0.25">
      <c r="A7">
        <v>30</v>
      </c>
      <c r="B7" s="1">
        <f t="shared" si="0"/>
        <v>86</v>
      </c>
      <c r="C7" s="4">
        <v>1117</v>
      </c>
      <c r="D7" s="3">
        <f t="shared" si="1"/>
        <v>0.33157326616893046</v>
      </c>
      <c r="E7" s="3">
        <f t="shared" si="2"/>
        <v>1.1112752487187216</v>
      </c>
      <c r="F7" s="11"/>
      <c r="G7" s="10" t="s">
        <v>7</v>
      </c>
      <c r="H7" s="11"/>
    </row>
    <row r="8" spans="1:8" x14ac:dyDescent="0.25">
      <c r="A8">
        <v>40</v>
      </c>
      <c r="B8" s="1">
        <f t="shared" si="0"/>
        <v>104</v>
      </c>
      <c r="C8" s="4">
        <v>1155</v>
      </c>
      <c r="D8" s="3">
        <f t="shared" si="1"/>
        <v>0.34168534289556252</v>
      </c>
      <c r="E8" s="3">
        <f t="shared" si="2"/>
        <v>1.1360655737704917</v>
      </c>
      <c r="F8" s="11"/>
      <c r="G8" s="10" t="s">
        <v>27</v>
      </c>
      <c r="H8" s="11"/>
    </row>
    <row r="9" spans="1:8" x14ac:dyDescent="0.25">
      <c r="A9">
        <v>50</v>
      </c>
      <c r="B9" s="1">
        <f t="shared" si="0"/>
        <v>122</v>
      </c>
      <c r="C9" s="4">
        <v>1194</v>
      </c>
      <c r="D9" s="3">
        <f t="shared" si="1"/>
        <v>0.35199213864570306</v>
      </c>
      <c r="E9" s="3">
        <f t="shared" si="2"/>
        <v>1.1609310548025926</v>
      </c>
      <c r="F9" s="11"/>
      <c r="G9" s="10" t="s">
        <v>27</v>
      </c>
      <c r="H9" s="11"/>
    </row>
    <row r="10" spans="1:8" x14ac:dyDescent="0.25">
      <c r="A10">
        <v>60</v>
      </c>
      <c r="B10" s="1">
        <f t="shared" si="0"/>
        <v>140</v>
      </c>
      <c r="C10" s="4">
        <v>1232</v>
      </c>
      <c r="D10" s="3">
        <f t="shared" si="1"/>
        <v>0.36196581196581196</v>
      </c>
      <c r="E10" s="3">
        <f t="shared" si="2"/>
        <v>1.1846153846153846</v>
      </c>
      <c r="F10" s="11"/>
      <c r="G10" s="10" t="s">
        <v>8</v>
      </c>
      <c r="H10" s="11"/>
    </row>
    <row r="11" spans="1:8" x14ac:dyDescent="0.25">
      <c r="A11">
        <v>70</v>
      </c>
      <c r="B11" s="1">
        <f t="shared" si="0"/>
        <v>158</v>
      </c>
      <c r="C11" s="4">
        <v>1270.5</v>
      </c>
      <c r="D11" s="3">
        <f t="shared" si="1"/>
        <v>0.37200212945299671</v>
      </c>
      <c r="E11" s="3">
        <f t="shared" si="2"/>
        <v>1.2080824088748017</v>
      </c>
      <c r="F11" s="11"/>
      <c r="G11" s="10" t="s">
        <v>27</v>
      </c>
      <c r="H11" s="11"/>
    </row>
    <row r="12" spans="1:8" x14ac:dyDescent="0.25">
      <c r="A12">
        <v>80</v>
      </c>
      <c r="B12" s="1">
        <f t="shared" si="0"/>
        <v>176</v>
      </c>
      <c r="C12" s="4">
        <v>1309</v>
      </c>
      <c r="D12" s="3">
        <f t="shared" si="1"/>
        <v>0.3819701122999381</v>
      </c>
      <c r="E12" s="3">
        <f t="shared" si="2"/>
        <v>1.2310344827586206</v>
      </c>
      <c r="F12" s="11"/>
      <c r="G12" s="10" t="s">
        <v>27</v>
      </c>
      <c r="H12" s="11"/>
    </row>
    <row r="13" spans="1:8" x14ac:dyDescent="0.25">
      <c r="A13">
        <v>90</v>
      </c>
      <c r="B13" s="1">
        <f t="shared" si="0"/>
        <v>194</v>
      </c>
      <c r="C13" s="4">
        <v>1347</v>
      </c>
      <c r="D13" s="3">
        <f t="shared" si="1"/>
        <v>0.39174231074292765</v>
      </c>
      <c r="E13" s="3">
        <f t="shared" si="2"/>
        <v>1.2531998872286438</v>
      </c>
      <c r="F13" s="10" t="s">
        <v>33</v>
      </c>
      <c r="G13" s="10" t="s">
        <v>29</v>
      </c>
      <c r="H13" s="12" t="s">
        <v>31</v>
      </c>
    </row>
    <row r="14" spans="1:8" x14ac:dyDescent="0.25">
      <c r="A14">
        <v>100</v>
      </c>
      <c r="B14" s="1">
        <f t="shared" si="0"/>
        <v>212</v>
      </c>
      <c r="C14" s="4">
        <v>1385</v>
      </c>
      <c r="D14" s="3">
        <f t="shared" si="1"/>
        <v>0.40144927536231884</v>
      </c>
      <c r="E14" s="3">
        <f t="shared" si="2"/>
        <v>1.2748953974895396</v>
      </c>
      <c r="F14" s="10" t="s">
        <v>32</v>
      </c>
      <c r="G14" s="10" t="s">
        <v>27</v>
      </c>
      <c r="H14" s="11"/>
    </row>
    <row r="15" spans="1:8" x14ac:dyDescent="0.25">
      <c r="A15">
        <v>110</v>
      </c>
      <c r="B15" s="1">
        <f t="shared" si="0"/>
        <v>230</v>
      </c>
      <c r="C15" s="4">
        <v>1424.26363636364</v>
      </c>
      <c r="D15" s="3">
        <f t="shared" si="1"/>
        <v>0.4114111989712495</v>
      </c>
      <c r="E15" s="3">
        <f t="shared" si="2"/>
        <v>1.2968344666879059</v>
      </c>
      <c r="F15" s="13" t="s">
        <v>26</v>
      </c>
      <c r="G15" s="10" t="s">
        <v>27</v>
      </c>
      <c r="H15" s="11"/>
    </row>
    <row r="16" spans="1:8" x14ac:dyDescent="0.25">
      <c r="A16">
        <v>120</v>
      </c>
      <c r="B16" s="1">
        <f t="shared" si="0"/>
        <v>248</v>
      </c>
      <c r="C16" s="4">
        <v>1462.75454545455</v>
      </c>
      <c r="D16" s="3">
        <f t="shared" si="1"/>
        <v>0.4211108229578337</v>
      </c>
      <c r="E16" s="3">
        <f t="shared" si="2"/>
        <v>1.317885198174253</v>
      </c>
      <c r="F16" s="10" t="s">
        <v>32</v>
      </c>
      <c r="G16" s="13" t="s">
        <v>9</v>
      </c>
      <c r="H16" s="11"/>
    </row>
    <row r="17" spans="1:8" x14ac:dyDescent="0.25">
      <c r="A17">
        <v>130</v>
      </c>
      <c r="B17" s="1">
        <f t="shared" si="0"/>
        <v>266</v>
      </c>
      <c r="C17" s="4">
        <v>1501.24545454545</v>
      </c>
      <c r="D17" s="3">
        <f t="shared" si="1"/>
        <v>0.43074552400253768</v>
      </c>
      <c r="E17" s="3">
        <f t="shared" si="2"/>
        <v>1.3384980976919292</v>
      </c>
      <c r="F17" s="10" t="s">
        <v>30</v>
      </c>
      <c r="G17" s="10" t="s">
        <v>28</v>
      </c>
      <c r="H17" s="11"/>
    </row>
    <row r="18" spans="1:8" x14ac:dyDescent="0.25">
      <c r="A18">
        <v>140</v>
      </c>
      <c r="B18" s="1">
        <f t="shared" si="0"/>
        <v>284</v>
      </c>
      <c r="C18" s="4">
        <v>1539.73636363636</v>
      </c>
      <c r="D18" s="3">
        <f t="shared" si="1"/>
        <v>0.44031595175878352</v>
      </c>
      <c r="E18" s="3">
        <f t="shared" si="2"/>
        <v>1.3586866842825556</v>
      </c>
      <c r="F18" s="11"/>
      <c r="G18" s="10" t="s">
        <v>27</v>
      </c>
      <c r="H18" s="11"/>
    </row>
    <row r="19" spans="1:8" x14ac:dyDescent="0.25">
      <c r="A19">
        <v>150</v>
      </c>
      <c r="B19" s="1">
        <f t="shared" si="0"/>
        <v>302</v>
      </c>
      <c r="C19" s="4">
        <v>1578.22727272727</v>
      </c>
      <c r="D19" s="3">
        <f t="shared" si="1"/>
        <v>0.44982274724109833</v>
      </c>
      <c r="E19" s="3">
        <f t="shared" si="2"/>
        <v>1.3784639260836598</v>
      </c>
      <c r="F19" s="11"/>
      <c r="G19" s="10" t="s">
        <v>10</v>
      </c>
      <c r="H19" s="11"/>
    </row>
    <row r="20" spans="1:8" x14ac:dyDescent="0.25">
      <c r="A20">
        <v>160</v>
      </c>
      <c r="B20" s="1">
        <f t="shared" si="0"/>
        <v>320</v>
      </c>
      <c r="C20" s="4">
        <v>1616.71818181818</v>
      </c>
      <c r="D20" s="3">
        <f t="shared" si="1"/>
        <v>0.45926654296824521</v>
      </c>
      <c r="E20" s="3">
        <f t="shared" si="2"/>
        <v>1.3978422681075355</v>
      </c>
    </row>
    <row r="21" spans="1:8" x14ac:dyDescent="0.25">
      <c r="A21">
        <v>170</v>
      </c>
      <c r="B21" s="1">
        <f t="shared" si="0"/>
        <v>338</v>
      </c>
      <c r="C21" s="4">
        <v>1655.20909090909</v>
      </c>
      <c r="D21" s="3">
        <f t="shared" si="1"/>
        <v>0.46864796310350482</v>
      </c>
      <c r="E21" s="3">
        <f t="shared" si="2"/>
        <v>1.4168336583559902</v>
      </c>
      <c r="G21" s="9" t="s">
        <v>20</v>
      </c>
    </row>
    <row r="22" spans="1:8" x14ac:dyDescent="0.25">
      <c r="A22">
        <v>180</v>
      </c>
      <c r="B22" s="1">
        <f t="shared" si="0"/>
        <v>356</v>
      </c>
      <c r="C22" s="4">
        <v>1693.7</v>
      </c>
      <c r="D22" s="3">
        <f t="shared" si="1"/>
        <v>0.47796762359219064</v>
      </c>
      <c r="E22" s="3">
        <f t="shared" si="2"/>
        <v>1.4354495723861624</v>
      </c>
    </row>
    <row r="23" spans="1:8" x14ac:dyDescent="0.25">
      <c r="A23">
        <v>190</v>
      </c>
      <c r="B23" s="1">
        <f t="shared" si="0"/>
        <v>374</v>
      </c>
      <c r="C23" s="4">
        <v>1732.1909090909101</v>
      </c>
      <c r="D23" s="3">
        <f t="shared" si="1"/>
        <v>0.48722613229645567</v>
      </c>
      <c r="E23" s="3">
        <f t="shared" si="2"/>
        <v>1.4537010364335408</v>
      </c>
      <c r="G23" s="7" t="s">
        <v>21</v>
      </c>
    </row>
    <row r="24" spans="1:8" x14ac:dyDescent="0.25">
      <c r="A24">
        <v>200</v>
      </c>
      <c r="B24" s="1">
        <f t="shared" si="0"/>
        <v>392</v>
      </c>
      <c r="C24" s="4">
        <v>1770.6818181818201</v>
      </c>
      <c r="D24" s="3">
        <f t="shared" si="1"/>
        <v>0.49642408912745506</v>
      </c>
      <c r="E24" s="3">
        <f t="shared" si="2"/>
        <v>1.4715986491900872</v>
      </c>
      <c r="G24" s="8" t="s">
        <v>22</v>
      </c>
    </row>
    <row r="25" spans="1:8" x14ac:dyDescent="0.25">
      <c r="A25">
        <v>210</v>
      </c>
      <c r="B25" s="1">
        <f t="shared" si="0"/>
        <v>410</v>
      </c>
      <c r="C25" s="4">
        <v>1809.1727272727301</v>
      </c>
      <c r="D25" s="3">
        <f t="shared" si="1"/>
        <v>0.50556208617492326</v>
      </c>
      <c r="E25" s="3">
        <f t="shared" si="2"/>
        <v>1.4891526023278447</v>
      </c>
      <c r="G25" s="7" t="s">
        <v>25</v>
      </c>
    </row>
    <row r="26" spans="1:8" x14ac:dyDescent="0.25">
      <c r="A26">
        <v>220</v>
      </c>
      <c r="B26" s="1">
        <f t="shared" si="0"/>
        <v>428</v>
      </c>
      <c r="C26" s="4">
        <v>1847.6636363636401</v>
      </c>
      <c r="D26" s="3">
        <f t="shared" si="1"/>
        <v>0.51464070783422666</v>
      </c>
      <c r="E26" s="3">
        <f t="shared" si="2"/>
        <v>1.5063726998515434</v>
      </c>
      <c r="G26" s="8" t="s">
        <v>35</v>
      </c>
    </row>
    <row r="27" spans="1:8" x14ac:dyDescent="0.25">
      <c r="A27">
        <v>230</v>
      </c>
      <c r="B27" s="1">
        <f t="shared" si="0"/>
        <v>446</v>
      </c>
      <c r="C27" s="4">
        <v>1886.1545454545501</v>
      </c>
      <c r="D27" s="3">
        <f t="shared" si="1"/>
        <v>0.52366053093094667</v>
      </c>
      <c r="E27" s="3">
        <f t="shared" si="2"/>
        <v>1.5232683763574129</v>
      </c>
      <c r="G27" s="8" t="s">
        <v>23</v>
      </c>
    </row>
    <row r="28" spans="1:8" x14ac:dyDescent="0.25">
      <c r="A28">
        <v>240</v>
      </c>
      <c r="B28" s="1">
        <f t="shared" si="0"/>
        <v>464</v>
      </c>
      <c r="C28" s="4">
        <v>1924.6454545454501</v>
      </c>
      <c r="D28" s="3">
        <f t="shared" si="1"/>
        <v>0.53262212484304738</v>
      </c>
      <c r="E28" s="3">
        <f t="shared" si="2"/>
        <v>1.5398487142696544</v>
      </c>
      <c r="G28" s="8" t="s">
        <v>24</v>
      </c>
    </row>
    <row r="29" spans="1:8" x14ac:dyDescent="0.25">
      <c r="A29">
        <v>250</v>
      </c>
      <c r="B29" s="1">
        <f t="shared" si="0"/>
        <v>482</v>
      </c>
      <c r="C29" s="4">
        <v>1963.1363636363601</v>
      </c>
      <c r="D29" s="3">
        <f t="shared" si="1"/>
        <v>0.54152605162069767</v>
      </c>
      <c r="E29" s="3">
        <f t="shared" si="2"/>
        <v>1.5561224601207551</v>
      </c>
    </row>
    <row r="30" spans="1:8" x14ac:dyDescent="0.25">
      <c r="A30">
        <v>260</v>
      </c>
      <c r="B30" s="1">
        <f t="shared" si="0"/>
        <v>500</v>
      </c>
      <c r="C30" s="4">
        <v>2001.6272727272799</v>
      </c>
      <c r="D30" s="3">
        <f t="shared" si="1"/>
        <v>0.55037286610376479</v>
      </c>
      <c r="E30" s="3">
        <f t="shared" si="2"/>
        <v>1.5720980399369104</v>
      </c>
      <c r="G30" s="6" t="s">
        <v>11</v>
      </c>
    </row>
    <row r="31" spans="1:8" x14ac:dyDescent="0.25">
      <c r="A31">
        <v>270</v>
      </c>
      <c r="B31" s="1">
        <f t="shared" si="0"/>
        <v>518</v>
      </c>
      <c r="C31" s="4">
        <v>2040.1181818181899</v>
      </c>
      <c r="D31" s="3">
        <f t="shared" si="1"/>
        <v>0.55916311603706881</v>
      </c>
      <c r="E31" s="3">
        <f t="shared" si="2"/>
        <v>1.587783573785468</v>
      </c>
      <c r="G31" s="8" t="s">
        <v>12</v>
      </c>
    </row>
    <row r="32" spans="1:8" x14ac:dyDescent="0.25">
      <c r="A32">
        <v>280</v>
      </c>
      <c r="B32" s="1">
        <f t="shared" si="0"/>
        <v>536</v>
      </c>
      <c r="C32" s="4">
        <v>2078.6090909090899</v>
      </c>
      <c r="D32" s="3">
        <f t="shared" si="1"/>
        <v>0.56789734218343901</v>
      </c>
      <c r="E32" s="3">
        <f t="shared" si="2"/>
        <v>1.6031868895371686</v>
      </c>
      <c r="G32" s="8" t="s">
        <v>13</v>
      </c>
    </row>
    <row r="33" spans="1:7" x14ac:dyDescent="0.25">
      <c r="A33">
        <v>290</v>
      </c>
      <c r="B33" s="1">
        <f t="shared" si="0"/>
        <v>554</v>
      </c>
      <c r="C33" s="4">
        <v>2117.1</v>
      </c>
      <c r="D33" s="3">
        <f t="shared" si="1"/>
        <v>0.5765760784346089</v>
      </c>
      <c r="E33" s="3">
        <f t="shared" si="2"/>
        <v>1.6183155358921495</v>
      </c>
      <c r="G33" s="8" t="s">
        <v>14</v>
      </c>
    </row>
    <row r="34" spans="1:7" x14ac:dyDescent="0.25">
      <c r="A34">
        <v>300</v>
      </c>
      <c r="B34" s="1">
        <f t="shared" si="0"/>
        <v>572</v>
      </c>
      <c r="C34" s="4">
        <v>2155.5909090909099</v>
      </c>
      <c r="D34" s="3">
        <f t="shared" si="1"/>
        <v>0.58519985191999213</v>
      </c>
      <c r="E34" s="3">
        <f t="shared" si="2"/>
        <v>1.6331767947152565</v>
      </c>
      <c r="G34" s="8" t="s">
        <v>19</v>
      </c>
    </row>
    <row r="35" spans="1:7" x14ac:dyDescent="0.25">
      <c r="C35" s="2" t="s">
        <v>4</v>
      </c>
      <c r="D35" s="3">
        <f>D34-D4</f>
        <v>0.28519985191999214</v>
      </c>
      <c r="E35" s="3">
        <f>E34-E4</f>
        <v>0.60192679471525645</v>
      </c>
      <c r="G35" s="8" t="s">
        <v>36</v>
      </c>
    </row>
    <row r="36" spans="1:7" x14ac:dyDescent="0.25">
      <c r="G36" s="8" t="s">
        <v>16</v>
      </c>
    </row>
    <row r="37" spans="1:7" x14ac:dyDescent="0.25">
      <c r="G37" s="8" t="s">
        <v>17</v>
      </c>
    </row>
    <row r="38" spans="1:7" x14ac:dyDescent="0.25">
      <c r="G38" s="8" t="s">
        <v>18</v>
      </c>
    </row>
    <row r="39" spans="1:7" x14ac:dyDescent="0.25">
      <c r="G39" s="7" t="s">
        <v>15</v>
      </c>
    </row>
    <row r="41" spans="1:7" x14ac:dyDescent="0.25">
      <c r="G41" s="6" t="s">
        <v>37</v>
      </c>
    </row>
    <row r="42" spans="1:7" x14ac:dyDescent="0.25">
      <c r="G42" s="8" t="s">
        <v>38</v>
      </c>
    </row>
    <row r="43" spans="1:7" x14ac:dyDescent="0.25">
      <c r="G43" s="8" t="s">
        <v>39</v>
      </c>
    </row>
    <row r="44" spans="1:7" x14ac:dyDescent="0.25">
      <c r="G44" s="8" t="s">
        <v>40</v>
      </c>
    </row>
    <row r="45" spans="1:7" x14ac:dyDescent="0.25">
      <c r="G45" s="7" t="s">
        <v>43</v>
      </c>
    </row>
    <row r="46" spans="1:7" x14ac:dyDescent="0.25">
      <c r="G46" s="7" t="s">
        <v>44</v>
      </c>
    </row>
    <row r="47" spans="1:7" x14ac:dyDescent="0.25">
      <c r="G47" s="8" t="s">
        <v>18</v>
      </c>
    </row>
    <row r="48" spans="1:7" x14ac:dyDescent="0.25">
      <c r="G48" s="14" t="s">
        <v>41</v>
      </c>
    </row>
    <row r="49" spans="7:8" x14ac:dyDescent="0.25">
      <c r="G49" s="7" t="s">
        <v>42</v>
      </c>
    </row>
    <row r="50" spans="7:8" x14ac:dyDescent="0.25">
      <c r="G50" s="15" t="s">
        <v>46</v>
      </c>
    </row>
    <row r="51" spans="7:8" x14ac:dyDescent="0.25">
      <c r="G51" s="8" t="s">
        <v>55</v>
      </c>
    </row>
    <row r="52" spans="7:8" x14ac:dyDescent="0.25">
      <c r="G52" s="8" t="s">
        <v>56</v>
      </c>
    </row>
    <row r="53" spans="7:8" x14ac:dyDescent="0.25">
      <c r="G53" s="8" t="s">
        <v>57</v>
      </c>
    </row>
    <row r="54" spans="7:8" x14ac:dyDescent="0.25">
      <c r="G54" s="8" t="s">
        <v>58</v>
      </c>
    </row>
    <row r="55" spans="7:8" x14ac:dyDescent="0.25">
      <c r="G55" s="7" t="s">
        <v>45</v>
      </c>
    </row>
    <row r="56" spans="7:8" x14ac:dyDescent="0.25">
      <c r="G56" s="15" t="s">
        <v>47</v>
      </c>
    </row>
    <row r="57" spans="7:8" x14ac:dyDescent="0.25">
      <c r="G57" s="15" t="s">
        <v>48</v>
      </c>
    </row>
    <row r="58" spans="7:8" x14ac:dyDescent="0.25">
      <c r="G58" s="15" t="s">
        <v>49</v>
      </c>
    </row>
    <row r="59" spans="7:8" x14ac:dyDescent="0.25">
      <c r="G59" s="8" t="s">
        <v>54</v>
      </c>
    </row>
    <row r="60" spans="7:8" x14ac:dyDescent="0.25">
      <c r="G60" s="7"/>
    </row>
    <row r="61" spans="7:8" x14ac:dyDescent="0.25">
      <c r="G61" s="8" t="s">
        <v>50</v>
      </c>
      <c r="H61" s="16"/>
    </row>
    <row r="62" spans="7:8" x14ac:dyDescent="0.25">
      <c r="G62" s="8" t="s">
        <v>53</v>
      </c>
      <c r="H62" s="16"/>
    </row>
    <row r="63" spans="7:8" x14ac:dyDescent="0.25">
      <c r="G63" s="8" t="s">
        <v>51</v>
      </c>
      <c r="H63" s="16"/>
    </row>
    <row r="64" spans="7:8" x14ac:dyDescent="0.25">
      <c r="G64" s="8" t="s">
        <v>52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Lavoie</dc:creator>
  <cp:lastModifiedBy>Fabien Lavoie</cp:lastModifiedBy>
  <dcterms:created xsi:type="dcterms:W3CDTF">2026-03-19T16:36:49Z</dcterms:created>
  <dcterms:modified xsi:type="dcterms:W3CDTF">2026-03-20T01:54:55Z</dcterms:modified>
</cp:coreProperties>
</file>