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f8f351c66a0d70/Documents/Home Assistant/ESPHOME/BBQ Granules Pitboss 850 Pro Series/"/>
    </mc:Choice>
  </mc:AlternateContent>
  <xr:revisionPtr revIDLastSave="15" documentId="8_{9142C9F1-D067-4A40-9BF6-AB6BA969A4ED}" xr6:coauthVersionLast="47" xr6:coauthVersionMax="47" xr10:uidLastSave="{9C7F8813-DB60-4753-A149-5F4B7470984B}"/>
  <bookViews>
    <workbookView xWindow="28680" yWindow="-120" windowWidth="29040" windowHeight="16440" xr2:uid="{762EA530-78CE-4C10-9759-8B41FCE907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3" i="1" s="1"/>
  <c r="B30" i="1" s="1"/>
  <c r="E9" i="1"/>
  <c r="E4" i="1"/>
  <c r="E6" i="1" s="1"/>
  <c r="B24" i="1" l="1"/>
  <c r="E11" i="1"/>
  <c r="E13" i="1" s="1"/>
  <c r="B27" i="1" l="1"/>
  <c r="B31" i="1"/>
  <c r="B32" i="1"/>
  <c r="B33" i="1" l="1"/>
  <c r="B34" i="1" s="1"/>
  <c r="B37" i="1" s="1"/>
  <c r="B38" i="1" s="1"/>
</calcChain>
</file>

<file path=xl/sharedStrings.xml><?xml version="1.0" encoding="utf-8"?>
<sst xmlns="http://schemas.openxmlformats.org/spreadsheetml/2006/main" count="43" uniqueCount="38">
  <si>
    <t>Partie haute</t>
  </si>
  <si>
    <t>Partie basse</t>
  </si>
  <si>
    <t>Longueur sommet (L_HAUT)</t>
  </si>
  <si>
    <t>Largeur sommet (l_HAUT)</t>
  </si>
  <si>
    <t>Longeur base (L_BAS)</t>
  </si>
  <si>
    <t>Largeur base (l_BAS)</t>
  </si>
  <si>
    <t>hauteur (H_BASSE)</t>
  </si>
  <si>
    <t>hauteur (H_HAUTE)</t>
  </si>
  <si>
    <r>
      <t>Volume 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(vol_partie_haute)= (aire_haut * H_HAUTE)</t>
    </r>
  </si>
  <si>
    <t>aire partie haute (aire_haut)=(L_HAUT * l_HAUT)</t>
  </si>
  <si>
    <t>aire partie basse (aire_bas)=(L_BAS * l_BAS)</t>
  </si>
  <si>
    <r>
      <t>Volume total 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(vol_total)=(vol_partie_haute + vol_partie_basse)</t>
    </r>
  </si>
  <si>
    <r>
      <t>Volume 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(vol_partie_basse)=(H_BASSE/3.0)*(aire_haut + aire_bas + RACINE(aire_haut * aire_bas)</t>
    </r>
  </si>
  <si>
    <t>Distance mesuré (mm)</t>
  </si>
  <si>
    <t>mm</t>
  </si>
  <si>
    <t>Distance mesuré (cm)</t>
  </si>
  <si>
    <r>
      <t>vol_actuel_haut (cm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</si>
  <si>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Distance trémie pleine (DIS_PLEIN)</t>
  </si>
  <si>
    <t>Distance trémie vide (DIST_VIDE)</t>
  </si>
  <si>
    <t>Distance relative (mm)</t>
  </si>
  <si>
    <t>Distance vide en cm</t>
  </si>
  <si>
    <r>
      <t>vol_actuel_bas (cm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</si>
  <si>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Largeur actuelle partie basse (L_actuel)</t>
  </si>
  <si>
    <t>Longeur actuelle partie basse (l_actuel)</t>
  </si>
  <si>
    <t>hauteur de matière partie basse (h_matiere_cm)</t>
  </si>
  <si>
    <t>aire actuelle</t>
  </si>
  <si>
    <r>
      <t>vol_actuel (cm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</si>
  <si>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vol_actuel (%)</t>
  </si>
  <si>
    <t>Calcul du volume Total</t>
  </si>
  <si>
    <t>Limites des distances de mesure</t>
  </si>
  <si>
    <t>Distance mesuré et calcul distance relative</t>
  </si>
  <si>
    <t>Calcul du volume dans la partie haute</t>
  </si>
  <si>
    <t>Calcul du volume dans la partie basse</t>
  </si>
  <si>
    <t>Calcul du volume actuel</t>
  </si>
  <si>
    <t>Calcul du volume de granule dans la trémie</t>
  </si>
  <si>
    <t>Distance zone morte du capteur (DIS_ZONE_MORTE)</t>
  </si>
  <si>
    <t>Lorsque le capteur mesure &lt; Zone Morte on force le volume à 100%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</si>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</sst>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6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F257B-3086-469A-AF11-A6107E28F73A}">
  <dimension ref="A1:F38"/>
  <sheetViews>
    <sheetView tabSelected="1" workbookViewId="0">
      <pane ySplit="1" topLeftCell="A2" activePane="bottomLeft" state="frozen"/>
      <selection pane="bottomLeft" activeCell="D28" sqref="D28"/>
    </sheetView>
  </sheetViews>
  <sheetFormatPr baseColWidth="10" defaultRowHeight="15" x14ac:dyDescent="0.25"/>
  <cols>
    <col min="1" max="1" width="47.85546875" bestFit="1" customWidth="1"/>
    <col min="3" max="3" width="4.42578125" bestFit="1" customWidth="1"/>
    <col min="4" max="4" width="88.7109375" bestFit="1" customWidth="1"/>
    <col min="6" max="6" width="71" customWidth="1"/>
  </cols>
  <sheetData>
    <row r="1" spans="1:5" ht="26.25" x14ac:dyDescent="0.4">
      <c r="A1" s="9" t="s">
        <v>34</v>
      </c>
      <c r="B1" s="10"/>
      <c r="C1" s="10"/>
      <c r="D1" s="10"/>
      <c r="E1" s="10"/>
    </row>
    <row r="3" spans="1:5" x14ac:dyDescent="0.25">
      <c r="A3" s="1" t="s">
        <v>0</v>
      </c>
    </row>
    <row r="4" spans="1:5" x14ac:dyDescent="0.25">
      <c r="A4" t="s">
        <v>2</v>
      </c>
      <c r="B4" s="3">
        <v>37</v>
      </c>
      <c r="D4" t="s">
        <v>9</v>
      </c>
      <c r="E4" s="3">
        <f>B4*B5</f>
        <v>962</v>
      </c>
    </row>
    <row r="5" spans="1:5" x14ac:dyDescent="0.25">
      <c r="A5" t="s">
        <v>3</v>
      </c>
      <c r="B5" s="3">
        <v>26</v>
      </c>
      <c r="E5" s="3"/>
    </row>
    <row r="6" spans="1:5" ht="17.25" x14ac:dyDescent="0.25">
      <c r="A6" t="s">
        <v>7</v>
      </c>
      <c r="B6" s="3">
        <v>8</v>
      </c>
      <c r="D6" t="s">
        <v>8</v>
      </c>
      <c r="E6" s="3">
        <f>E4*B6</f>
        <v>7696</v>
      </c>
    </row>
    <row r="7" spans="1:5" x14ac:dyDescent="0.25">
      <c r="B7" s="3"/>
    </row>
    <row r="8" spans="1:5" x14ac:dyDescent="0.25">
      <c r="A8" s="1" t="s">
        <v>1</v>
      </c>
      <c r="B8" s="3"/>
    </row>
    <row r="9" spans="1:5" x14ac:dyDescent="0.25">
      <c r="A9" t="s">
        <v>4</v>
      </c>
      <c r="B9" s="3">
        <v>16</v>
      </c>
      <c r="D9" t="s">
        <v>10</v>
      </c>
      <c r="E9" s="3">
        <f>B9*B10</f>
        <v>160</v>
      </c>
    </row>
    <row r="10" spans="1:5" x14ac:dyDescent="0.25">
      <c r="A10" t="s">
        <v>5</v>
      </c>
      <c r="B10" s="3">
        <v>10</v>
      </c>
      <c r="E10" s="3"/>
    </row>
    <row r="11" spans="1:5" ht="17.25" x14ac:dyDescent="0.25">
      <c r="A11" t="s">
        <v>6</v>
      </c>
      <c r="B11" s="3">
        <v>10</v>
      </c>
      <c r="D11" t="s">
        <v>12</v>
      </c>
      <c r="E11" s="3">
        <f>(B11/3)*(E4+E9+SQRT(E4*E9))</f>
        <v>5047.7546490921841</v>
      </c>
    </row>
    <row r="12" spans="1:5" x14ac:dyDescent="0.25">
      <c r="B12" s="3"/>
      <c r="E12" s="3"/>
    </row>
    <row r="13" spans="1:5" ht="17.25" x14ac:dyDescent="0.25">
      <c r="A13" s="1" t="s">
        <v>28</v>
      </c>
      <c r="B13" s="3"/>
      <c r="D13" t="s">
        <v>11</v>
      </c>
      <c r="E13" s="3">
        <f>SUM(E6,E11)</f>
        <v>12743.754649092185</v>
      </c>
    </row>
    <row r="14" spans="1:5" x14ac:dyDescent="0.25">
      <c r="B14" s="3"/>
    </row>
    <row r="15" spans="1:5" x14ac:dyDescent="0.25">
      <c r="A15" s="1" t="s">
        <v>29</v>
      </c>
      <c r="B15" s="3"/>
    </row>
    <row r="16" spans="1:5" x14ac:dyDescent="0.25">
      <c r="A16" t="s">
        <v>35</v>
      </c>
      <c r="B16" s="3">
        <v>35</v>
      </c>
      <c r="C16" t="s">
        <v>14</v>
      </c>
      <c r="D16" t="s">
        <v>36</v>
      </c>
    </row>
    <row r="17" spans="1:6" x14ac:dyDescent="0.25">
      <c r="A17" t="s">
        <v>17</v>
      </c>
      <c r="B17" s="3">
        <v>0</v>
      </c>
      <c r="C17" t="s">
        <v>14</v>
      </c>
    </row>
    <row r="18" spans="1:6" x14ac:dyDescent="0.25">
      <c r="A18" t="s">
        <v>18</v>
      </c>
      <c r="B18" s="3">
        <v>180</v>
      </c>
      <c r="C18" t="s">
        <v>14</v>
      </c>
    </row>
    <row r="20" spans="1:6" ht="15.75" thickBot="1" x14ac:dyDescent="0.3">
      <c r="A20" s="1" t="s">
        <v>30</v>
      </c>
    </row>
    <row r="21" spans="1:6" ht="15.75" thickBot="1" x14ac:dyDescent="0.3">
      <c r="A21" t="s">
        <v>13</v>
      </c>
      <c r="B21" s="8">
        <v>35</v>
      </c>
      <c r="C21" t="s">
        <v>14</v>
      </c>
    </row>
    <row r="22" spans="1:6" x14ac:dyDescent="0.25">
      <c r="A22" t="s">
        <v>15</v>
      </c>
      <c r="B22" s="3">
        <f>MIN(MAX(B21/10,B17/10),B18/10)</f>
        <v>3.5</v>
      </c>
      <c r="C22" t="s">
        <v>37</v>
      </c>
    </row>
    <row r="23" spans="1:6" x14ac:dyDescent="0.25">
      <c r="A23" t="s">
        <v>19</v>
      </c>
      <c r="B23" s="3">
        <f>B22*10-B17</f>
        <v>35</v>
      </c>
      <c r="C23" t="s">
        <v>14</v>
      </c>
    </row>
    <row r="24" spans="1:6" x14ac:dyDescent="0.25">
      <c r="A24" t="s">
        <v>20</v>
      </c>
      <c r="B24" s="3">
        <f>B23/10</f>
        <v>3.5</v>
      </c>
      <c r="C24" t="s">
        <v>37</v>
      </c>
    </row>
    <row r="26" spans="1:6" x14ac:dyDescent="0.25">
      <c r="A26" s="1" t="s">
        <v>31</v>
      </c>
    </row>
    <row r="27" spans="1:6" ht="17.25" x14ac:dyDescent="0.25">
      <c r="A27" t="s">
        <v>16</v>
      </c>
      <c r="B27" s="4">
        <f>E13-(E4*B24)</f>
        <v>9376.754649092185</v>
      </c>
      <c r="F27" s="2"/>
    </row>
    <row r="28" spans="1:6" x14ac:dyDescent="0.25">
      <c r="B28" s="3"/>
    </row>
    <row r="29" spans="1:6" x14ac:dyDescent="0.25">
      <c r="A29" s="1" t="s">
        <v>32</v>
      </c>
      <c r="B29" s="3"/>
    </row>
    <row r="30" spans="1:6" x14ac:dyDescent="0.25">
      <c r="A30" t="s">
        <v>24</v>
      </c>
      <c r="B30" s="3">
        <f>(B6+B11)-(B23/10)</f>
        <v>14.5</v>
      </c>
    </row>
    <row r="31" spans="1:6" x14ac:dyDescent="0.25">
      <c r="A31" t="s">
        <v>22</v>
      </c>
      <c r="B31" s="3">
        <f>B9+(B4-B9) * (B30/B11)</f>
        <v>46.45</v>
      </c>
    </row>
    <row r="32" spans="1:6" x14ac:dyDescent="0.25">
      <c r="A32" t="s">
        <v>23</v>
      </c>
      <c r="B32" s="3">
        <f>B10+(B5-B10)*(B30/B11)</f>
        <v>33.200000000000003</v>
      </c>
    </row>
    <row r="33" spans="1:2" x14ac:dyDescent="0.25">
      <c r="A33" t="s">
        <v>25</v>
      </c>
      <c r="B33" s="3">
        <f>B31*B32</f>
        <v>1542.1400000000003</v>
      </c>
    </row>
    <row r="34" spans="1:2" ht="17.25" x14ac:dyDescent="0.25">
      <c r="A34" t="s">
        <v>21</v>
      </c>
      <c r="B34" s="5">
        <f>(B30/3)*(B33+E9+SQRT(B33*E9))</f>
        <v>10627.879971952298</v>
      </c>
    </row>
    <row r="35" spans="1:2" x14ac:dyDescent="0.25">
      <c r="B35" s="3"/>
    </row>
    <row r="36" spans="1:2" x14ac:dyDescent="0.25">
      <c r="A36" s="1" t="s">
        <v>33</v>
      </c>
      <c r="B36" s="3"/>
    </row>
    <row r="37" spans="1:2" ht="17.25" x14ac:dyDescent="0.25">
      <c r="A37" t="s">
        <v>26</v>
      </c>
      <c r="B37" s="6">
        <f>IF(B23&lt;=(B6*10),B27,B34)</f>
        <v>9376.754649092185</v>
      </c>
    </row>
    <row r="38" spans="1:2" x14ac:dyDescent="0.25">
      <c r="A38" t="s">
        <v>27</v>
      </c>
      <c r="B38" s="7">
        <f>B37/E13</f>
        <v>0.7357921513154797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Lavoie</dc:creator>
  <cp:lastModifiedBy>Fabien Lavoie</cp:lastModifiedBy>
  <dcterms:created xsi:type="dcterms:W3CDTF">2026-04-06T20:25:51Z</dcterms:created>
  <dcterms:modified xsi:type="dcterms:W3CDTF">2026-04-21T01:52:49Z</dcterms:modified>
</cp:coreProperties>
</file>